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ЦяКнига"/>
  <mc:AlternateContent xmlns:mc="http://schemas.openxmlformats.org/markup-compatibility/2006">
    <mc:Choice Requires="x15">
      <x15ac:absPath xmlns:x15ac="http://schemas.microsoft.com/office/spreadsheetml/2010/11/ac" url="C:\Users\Oleksiy\Downloads\"/>
    </mc:Choice>
  </mc:AlternateContent>
  <bookViews>
    <workbookView xWindow="0" yWindow="0" windowWidth="28800" windowHeight="11580"/>
  </bookViews>
  <sheets>
    <sheet name="Risk_Comparison" sheetId="1" r:id="rId1"/>
  </sheets>
  <calcPr calcId="162913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E3" i="1"/>
  <c r="E4" i="1"/>
  <c r="E5" i="1"/>
  <c r="E6" i="1"/>
  <c r="E7" i="1"/>
  <c r="E8" i="1"/>
  <c r="E9" i="1"/>
  <c r="F7" i="1" l="1"/>
  <c r="G7" i="1" s="1"/>
  <c r="H7" i="1" s="1"/>
  <c r="I7" i="1" s="1"/>
  <c r="F9" i="1"/>
  <c r="G9" i="1" s="1"/>
  <c r="H9" i="1" s="1"/>
  <c r="I9" i="1" s="1"/>
  <c r="F8" i="1"/>
  <c r="G8" i="1" s="1"/>
  <c r="H8" i="1" s="1"/>
  <c r="I8" i="1" s="1"/>
  <c r="F6" i="1"/>
  <c r="G6" i="1" s="1"/>
  <c r="H6" i="1" s="1"/>
  <c r="F5" i="1"/>
  <c r="F4" i="1"/>
  <c r="F3" i="1"/>
  <c r="G4" i="1" l="1"/>
  <c r="H4" i="1" s="1"/>
  <c r="I4" i="1" s="1"/>
  <c r="G5" i="1"/>
  <c r="H5" i="1" s="1"/>
  <c r="I5" i="1" s="1"/>
  <c r="I6" i="1"/>
  <c r="G3" i="1"/>
  <c r="H3" i="1" s="1"/>
  <c r="I3" i="1" s="1"/>
  <c r="J3" i="1" l="1"/>
  <c r="K3" i="1" s="1"/>
  <c r="J5" i="1"/>
  <c r="K5" i="1" s="1"/>
  <c r="J6" i="1"/>
  <c r="K6" i="1" s="1"/>
  <c r="J4" i="1"/>
  <c r="K4" i="1" s="1"/>
  <c r="J9" i="1"/>
  <c r="K9" i="1" s="1"/>
  <c r="J8" i="1"/>
  <c r="K8" i="1" s="1"/>
  <c r="J7" i="1"/>
  <c r="K7" i="1" s="1"/>
</calcChain>
</file>

<file path=xl/sharedStrings.xml><?xml version="1.0" encoding="utf-8"?>
<sst xmlns="http://schemas.openxmlformats.org/spreadsheetml/2006/main" count="19" uniqueCount="19">
  <si>
    <t>Варіант 1</t>
  </si>
  <si>
    <t>Варіант 2</t>
  </si>
  <si>
    <t>Варіант 3</t>
  </si>
  <si>
    <t>Варіант 4</t>
  </si>
  <si>
    <t>Варіант 5</t>
  </si>
  <si>
    <t>Варіант 6</t>
  </si>
  <si>
    <t>Варіант 7</t>
  </si>
  <si>
    <t>Результат 1</t>
  </si>
  <si>
    <t>Результат 2</t>
  </si>
  <si>
    <t>Ймовірність  P1</t>
  </si>
  <si>
    <t>Ймовірність  P2</t>
  </si>
  <si>
    <t>Дохід X1</t>
  </si>
  <si>
    <t>Дохід X2</t>
  </si>
  <si>
    <t>Варіанти виробництва і
реалізації товарів</t>
  </si>
  <si>
    <t>Математичне сподівання (M)</t>
  </si>
  <si>
    <t>Дисперсія (D)</t>
  </si>
  <si>
    <t>Середньоквадратичне відхилення (σ)</t>
  </si>
  <si>
    <t>Коефіцієнт варіації (V)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</si>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</sst>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K9"/>
  <sheetViews>
    <sheetView tabSelected="1" workbookViewId="0">
      <selection activeCell="D4" sqref="D4"/>
    </sheetView>
  </sheetViews>
  <sheetFormatPr defaultRowHeight="15" x14ac:dyDescent="0.25"/>
  <cols>
    <col min="1" max="1" width="22.7109375" bestFit="1" customWidth="1"/>
    <col min="2" max="2" width="15.28515625" bestFit="1" customWidth="1"/>
    <col min="3" max="3" width="8.85546875" bestFit="1" customWidth="1"/>
    <col min="4" max="4" width="15.28515625" bestFit="1" customWidth="1"/>
    <col min="5" max="5" width="8.85546875" bestFit="1" customWidth="1"/>
    <col min="6" max="6" width="28.140625" bestFit="1" customWidth="1"/>
    <col min="7" max="7" width="13.5703125" bestFit="1" customWidth="1"/>
    <col min="8" max="8" width="36.28515625" bestFit="1" customWidth="1"/>
    <col min="9" max="9" width="21.85546875" bestFit="1" customWidth="1"/>
    <col min="10" max="10" width="5" bestFit="1" customWidth="1"/>
    <col min="11" max="11" width="11.42578125" bestFit="1" customWidth="1"/>
  </cols>
  <sheetData>
    <row r="1" spans="1:11" x14ac:dyDescent="0.25">
      <c r="A1" s="2" t="s">
        <v>13</v>
      </c>
      <c r="B1" s="3" t="s">
        <v>7</v>
      </c>
      <c r="C1" s="3"/>
      <c r="D1" s="3" t="s">
        <v>8</v>
      </c>
      <c r="E1" s="3"/>
    </row>
    <row r="2" spans="1:11" x14ac:dyDescent="0.25">
      <c r="A2" s="3"/>
      <c r="B2" t="s">
        <v>9</v>
      </c>
      <c r="C2" t="s">
        <v>11</v>
      </c>
      <c r="D2" t="s">
        <v>10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25">
      <c r="A3" t="s">
        <v>0</v>
      </c>
      <c r="B3" s="1">
        <v>0.1</v>
      </c>
      <c r="C3">
        <f t="shared" ref="C3:C9" ca="1" si="0">RANDBETWEEN(3,6)</f>
        <v>6</v>
      </c>
      <c r="D3" s="1">
        <v>0.9</v>
      </c>
      <c r="E3">
        <f t="shared" ref="E3:E9" ca="1" si="1">RANDBETWEEN(3,6)</f>
        <v>3</v>
      </c>
      <c r="F3">
        <f ca="1">B3*C3 + D3*E3</f>
        <v>3.3000000000000003</v>
      </c>
      <c r="G3">
        <f ca="1">(C3 - F3)^2 * B3 + (E3 - F3)^2 * D3</f>
        <v>0.81</v>
      </c>
      <c r="H3">
        <f ca="1">SQRT(G3)</f>
        <v>0.9</v>
      </c>
      <c r="I3">
        <f ca="1">IF(F3=0, 999999, H3 / F3)</f>
        <v>0.27272727272727271</v>
      </c>
      <c r="J3">
        <f t="shared" ref="J3:J9" ca="1" si="2">_xlfn.RANK.EQ(I3, $I$3:$I$9, 1)</f>
        <v>7</v>
      </c>
      <c r="K3" t="str">
        <f ca="1">IF(J3=1, "Найкращий", "")</f>
        <v/>
      </c>
    </row>
    <row r="4" spans="1:11" x14ac:dyDescent="0.25">
      <c r="A4" t="s">
        <v>1</v>
      </c>
      <c r="B4" s="1">
        <v>0.2</v>
      </c>
      <c r="C4">
        <f t="shared" ca="1" si="0"/>
        <v>3</v>
      </c>
      <c r="D4" s="1">
        <v>0.8</v>
      </c>
      <c r="E4">
        <f t="shared" ca="1" si="1"/>
        <v>5</v>
      </c>
      <c r="F4">
        <f t="shared" ref="F4:F9" ca="1" si="3">B4*C4 + D4*E4</f>
        <v>4.5999999999999996</v>
      </c>
      <c r="G4">
        <f t="shared" ref="G4:G9" ca="1" si="4">(C4 - F4)^2 * B4 + (E4 - F4)^2 * D4</f>
        <v>0.64</v>
      </c>
      <c r="H4">
        <f t="shared" ref="H4:H9" ca="1" si="5">SQRT(G4)</f>
        <v>0.8</v>
      </c>
      <c r="I4">
        <f t="shared" ref="I4:I9" ca="1" si="6">IF(F4=0, 999999, H4 / F4)</f>
        <v>0.17391304347826089</v>
      </c>
      <c r="J4">
        <f t="shared" ca="1" si="2"/>
        <v>5</v>
      </c>
      <c r="K4" t="str">
        <f t="shared" ref="K4:K9" ca="1" si="7">IF(J4=1, "Найкращий", "")</f>
        <v/>
      </c>
    </row>
    <row r="5" spans="1:11" x14ac:dyDescent="0.25">
      <c r="A5" t="s">
        <v>2</v>
      </c>
      <c r="B5" s="1">
        <v>0.3</v>
      </c>
      <c r="C5">
        <f t="shared" ca="1" si="0"/>
        <v>5</v>
      </c>
      <c r="D5" s="1">
        <v>0.7</v>
      </c>
      <c r="E5">
        <f t="shared" ca="1" si="1"/>
        <v>6</v>
      </c>
      <c r="F5">
        <f t="shared" ca="1" si="3"/>
        <v>5.6999999999999993</v>
      </c>
      <c r="G5">
        <f t="shared" ca="1" si="4"/>
        <v>0.20999999999999996</v>
      </c>
      <c r="H5">
        <f t="shared" ca="1" si="5"/>
        <v>0.45825756949558394</v>
      </c>
      <c r="I5">
        <f t="shared" ca="1" si="6"/>
        <v>8.0396064823786667E-2</v>
      </c>
      <c r="J5">
        <f t="shared" ca="1" si="2"/>
        <v>1</v>
      </c>
      <c r="K5" t="str">
        <f t="shared" ca="1" si="7"/>
        <v>Найкращий</v>
      </c>
    </row>
    <row r="6" spans="1:11" x14ac:dyDescent="0.25">
      <c r="A6" t="s">
        <v>3</v>
      </c>
      <c r="B6" s="1">
        <v>0.4</v>
      </c>
      <c r="C6">
        <f t="shared" ca="1" si="0"/>
        <v>5</v>
      </c>
      <c r="D6" s="1">
        <v>0.6</v>
      </c>
      <c r="E6">
        <f t="shared" ca="1" si="1"/>
        <v>4</v>
      </c>
      <c r="F6">
        <f ca="1">B6*C6 + D6*E6</f>
        <v>4.4000000000000004</v>
      </c>
      <c r="G6">
        <f t="shared" ca="1" si="4"/>
        <v>0.24000000000000002</v>
      </c>
      <c r="H6">
        <f t="shared" ca="1" si="5"/>
        <v>0.48989794855663565</v>
      </c>
      <c r="I6">
        <f t="shared" ca="1" si="6"/>
        <v>0.11134044285378082</v>
      </c>
      <c r="J6">
        <f t="shared" ca="1" si="2"/>
        <v>3</v>
      </c>
      <c r="K6" t="str">
        <f ca="1">IF(J6=1, "Найкращий", "")</f>
        <v/>
      </c>
    </row>
    <row r="7" spans="1:11" x14ac:dyDescent="0.25">
      <c r="A7" t="s">
        <v>4</v>
      </c>
      <c r="B7" s="1">
        <v>0.5</v>
      </c>
      <c r="C7">
        <f t="shared" ca="1" si="0"/>
        <v>3</v>
      </c>
      <c r="D7" s="1">
        <v>0.5</v>
      </c>
      <c r="E7">
        <f t="shared" ca="1" si="1"/>
        <v>4</v>
      </c>
      <c r="F7">
        <f t="shared" ca="1" si="3"/>
        <v>3.5</v>
      </c>
      <c r="G7">
        <f t="shared" ca="1" si="4"/>
        <v>0.25</v>
      </c>
      <c r="H7">
        <f t="shared" ca="1" si="5"/>
        <v>0.5</v>
      </c>
      <c r="I7">
        <f t="shared" ca="1" si="6"/>
        <v>0.14285714285714285</v>
      </c>
      <c r="J7">
        <f t="shared" ca="1" si="2"/>
        <v>4</v>
      </c>
      <c r="K7" t="str">
        <f t="shared" ca="1" si="7"/>
        <v/>
      </c>
    </row>
    <row r="8" spans="1:11" x14ac:dyDescent="0.25">
      <c r="A8" t="s">
        <v>5</v>
      </c>
      <c r="B8" s="1">
        <v>0.6</v>
      </c>
      <c r="C8">
        <f t="shared" ca="1" si="0"/>
        <v>6</v>
      </c>
      <c r="D8" s="1">
        <v>0.4</v>
      </c>
      <c r="E8">
        <f t="shared" ca="1" si="1"/>
        <v>4</v>
      </c>
      <c r="F8">
        <f t="shared" ca="1" si="3"/>
        <v>5.1999999999999993</v>
      </c>
      <c r="G8">
        <f t="shared" ca="1" si="4"/>
        <v>0.96000000000000008</v>
      </c>
      <c r="H8">
        <f t="shared" ca="1" si="5"/>
        <v>0.97979589711327131</v>
      </c>
      <c r="I8">
        <f t="shared" ca="1" si="6"/>
        <v>0.18842228790639837</v>
      </c>
      <c r="J8">
        <f t="shared" ca="1" si="2"/>
        <v>6</v>
      </c>
      <c r="K8" t="str">
        <f ca="1">IF(J8=1, "Найкращий", "")</f>
        <v/>
      </c>
    </row>
    <row r="9" spans="1:11" x14ac:dyDescent="0.25">
      <c r="A9" t="s">
        <v>6</v>
      </c>
      <c r="B9" s="1">
        <v>0.7</v>
      </c>
      <c r="C9">
        <f t="shared" ca="1" si="0"/>
        <v>4</v>
      </c>
      <c r="D9" s="1">
        <v>0.3</v>
      </c>
      <c r="E9">
        <f t="shared" ca="1" si="1"/>
        <v>5</v>
      </c>
      <c r="F9">
        <f t="shared" ca="1" si="3"/>
        <v>4.3</v>
      </c>
      <c r="G9">
        <f t="shared" ca="1" si="4"/>
        <v>0.21000000000000002</v>
      </c>
      <c r="H9">
        <f t="shared" ca="1" si="5"/>
        <v>0.45825756949558405</v>
      </c>
      <c r="I9">
        <f t="shared" ca="1" si="6"/>
        <v>0.10657152778967072</v>
      </c>
      <c r="J9">
        <f t="shared" ca="1" si="2"/>
        <v>2</v>
      </c>
      <c r="K9" t="str">
        <f t="shared" ca="1" si="7"/>
        <v/>
      </c>
    </row>
  </sheetData>
  <mergeCells count="3">
    <mergeCell ref="A1:A2"/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Risk_Comparison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Oleksiy</cp:lastModifiedBy>
  <dcterms:created xsi:type="dcterms:W3CDTF">2025-11-02T17:00:32Z</dcterms:created>
  <dcterms:modified xsi:type="dcterms:W3CDTF">2025-11-03T13:22:49Z</dcterms:modified>
</cp:coreProperties>
</file>